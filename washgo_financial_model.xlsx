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 Projection" sheetId="2" state="visible" r:id="rId2"/>
    <sheet name="Unit Economics" sheetId="3" state="visible" r:id="rId3"/>
    <sheet name="Break-even Analysis" sheetId="4" state="visible" r:id="rId4"/>
    <sheet name="Funding &amp; Runw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0.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1A237E"/>
      <sz val="10"/>
    </font>
    <font>
      <name val="Calibri"/>
      <color rgb="00000000"/>
      <sz val="11"/>
    </font>
    <font>
      <name val="Calibri"/>
      <color rgb="004B5563"/>
      <sz val="11"/>
    </font>
    <font>
      <name val="Calibri"/>
      <b val="1"/>
      <color rgb="00FFFFFF"/>
      <sz val="10"/>
    </font>
    <font>
      <name val="Calibri"/>
      <b val="1"/>
      <color rgb="002E7D32"/>
      <sz val="11"/>
    </font>
    <font>
      <name val="Calibri"/>
      <b val="1"/>
      <color rgb="00EF5350"/>
      <sz val="11"/>
    </font>
    <font>
      <name val="Calibri"/>
      <b val="1"/>
      <color rgb="00C62828"/>
      <sz val="11"/>
    </font>
    <font>
      <name val="Calibri"/>
      <color rgb="006B7280"/>
      <sz val="11"/>
    </font>
    <font>
      <name val="Calibri"/>
      <color rgb="00FF6F00"/>
      <sz val="11"/>
    </font>
    <font>
      <name val="Calibri"/>
      <b val="1"/>
      <color rgb="00FF6F00"/>
      <sz val="11"/>
    </font>
    <font>
      <name val="Calibri"/>
      <color rgb="001565C0"/>
      <sz val="11"/>
    </font>
    <font>
      <name val="Calibri"/>
      <color rgb="00EF5350"/>
      <sz val="11"/>
    </font>
    <font>
      <name val="Calibri"/>
      <b val="1"/>
      <color rgb="001B5E20"/>
      <sz val="11"/>
    </font>
    <font>
      <name val="Calibri"/>
      <b val="1"/>
      <color rgb="001A237E"/>
      <sz val="12"/>
    </font>
    <font>
      <name val="Calibri"/>
      <b val="1"/>
      <color rgb="001A237E"/>
      <sz val="11"/>
    </font>
    <font>
      <name val="Calibri"/>
      <b val="1"/>
      <color rgb="00FFFFFF"/>
      <sz val="12"/>
    </font>
    <font>
      <name val="Calibri"/>
      <color rgb="00FFFFFF"/>
      <sz val="11"/>
    </font>
    <font>
      <name val="Calibri"/>
      <color rgb="001A237E"/>
      <sz val="11"/>
    </font>
    <font>
      <name val="Calibri"/>
      <b val="1"/>
      <color rgb="004B5563"/>
      <sz val="11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1A237E"/>
      </patternFill>
    </fill>
    <fill>
      <patternFill patternType="solid">
        <fgColor rgb="00FF6F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5" fontId="14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3" borderId="1" pivotButton="0" quotePrefix="0" xfId="0"/>
    <xf numFmtId="164" fontId="16" fillId="3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8" fillId="5" borderId="1" pivotButton="0" quotePrefix="0" xfId="0"/>
    <xf numFmtId="0" fontId="7" fillId="2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right" vertical="center"/>
    </xf>
    <xf numFmtId="165" fontId="12" fillId="7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19" fillId="4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3" fontId="23" fillId="9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right" vertical="center"/>
    </xf>
    <xf numFmtId="164" fontId="21" fillId="7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right" vertical="center"/>
    </xf>
    <xf numFmtId="164" fontId="21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48" customWidth="1" min="3" max="3"/>
  </cols>
  <sheetData>
    <row r="1" ht="36" customHeight="1">
      <c r="A1" s="1" t="inlineStr">
        <is>
          <t>WashGo — Financial Model Assumptions</t>
        </is>
      </c>
    </row>
    <row r="2" ht="20" customHeight="1">
      <c r="A2" s="2" t="inlineStr">
        <is>
          <t>All values used as inputs for P&amp;L Projection, Unit Economics, and Break-even sheets.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Notes / Formula</t>
        </is>
      </c>
    </row>
    <row r="4" ht="22" customHeight="1">
      <c r="A4" s="4" t="inlineStr">
        <is>
          <t>── ORDER VOLUME ──</t>
        </is>
      </c>
      <c r="B4" s="5" t="n"/>
      <c r="C4" s="5" t="n"/>
    </row>
    <row r="5" ht="22" customHeight="1">
      <c r="A5" s="6" t="inlineStr">
        <is>
          <t>Starting orders / month (Month 1)</t>
        </is>
      </c>
      <c r="B5" s="7" t="n">
        <v>50</v>
      </c>
      <c r="C5" s="8" t="inlineStr">
        <is>
          <t>Seed-stage pilot assumption</t>
        </is>
      </c>
    </row>
    <row r="6" ht="22" customHeight="1">
      <c r="A6" s="9" t="inlineStr">
        <is>
          <t>Monthly order growth rate — M1–6</t>
        </is>
      </c>
      <c r="B6" s="10" t="n">
        <v>0.3</v>
      </c>
      <c r="C6" s="11" t="inlineStr">
        <is>
          <t>30% month-on-month growth in launch phase</t>
        </is>
      </c>
    </row>
    <row r="7" ht="22" customHeight="1">
      <c r="A7" s="6" t="inlineStr">
        <is>
          <t>Monthly order growth rate — M7–12</t>
        </is>
      </c>
      <c r="B7" s="12" t="n">
        <v>0.2</v>
      </c>
      <c r="C7" s="8" t="inlineStr">
        <is>
          <t>20% as product-market fit improves</t>
        </is>
      </c>
    </row>
    <row r="8" ht="22" customHeight="1">
      <c r="A8" s="9" t="inlineStr">
        <is>
          <t>Monthly order growth rate — M13–18</t>
        </is>
      </c>
      <c r="B8" s="10" t="n">
        <v>0.15</v>
      </c>
      <c r="C8" s="11" t="inlineStr">
        <is>
          <t>15% steady-state scaling phase</t>
        </is>
      </c>
    </row>
    <row r="9" ht="22" customHeight="1">
      <c r="A9" s="4" t="inlineStr">
        <is>
          <t>── REVENUE DRIVERS ──</t>
        </is>
      </c>
      <c r="B9" s="5" t="n"/>
      <c r="C9" s="5" t="n"/>
    </row>
    <row r="10" ht="22" customHeight="1">
      <c r="A10" s="9" t="inlineStr">
        <is>
          <t>Average order value (₹)</t>
        </is>
      </c>
      <c r="B10" s="13" t="n">
        <v>380</v>
      </c>
      <c r="C10" s="11" t="inlineStr">
        <is>
          <t>Blended across all 6 service types</t>
        </is>
      </c>
    </row>
    <row r="11" ht="22" customHeight="1">
      <c r="A11" s="6" t="inlineStr">
        <is>
          <t>WashGo commission %</t>
        </is>
      </c>
      <c r="B11" s="12" t="n">
        <v>0.25</v>
      </c>
      <c r="C11" s="8" t="inlineStr">
        <is>
          <t>25% of gross order value per transaction</t>
        </is>
      </c>
    </row>
    <row r="12" ht="22" customHeight="1">
      <c r="A12" s="9" t="inlineStr">
        <is>
          <t>Delivery fee per order (₹)</t>
        </is>
      </c>
      <c r="B12" s="13" t="n">
        <v>49</v>
      </c>
      <c r="C12" s="11" t="inlineStr">
        <is>
          <t>Flat fee charged to customer per cycle</t>
        </is>
      </c>
    </row>
    <row r="13" ht="22" customHeight="1">
      <c r="A13" s="4" t="inlineStr">
        <is>
          <t>── SUBSCRIPTION REVENUE ──</t>
        </is>
      </c>
      <c r="B13" s="5" t="n"/>
      <c r="C13" s="5" t="n"/>
    </row>
    <row r="14" ht="22" customHeight="1">
      <c r="A14" s="9" t="inlineStr">
        <is>
          <t>Subscriber conversion rate</t>
        </is>
      </c>
      <c r="B14" s="10" t="n">
        <v>0.03</v>
      </c>
      <c r="C14" s="11" t="inlineStr">
        <is>
          <t>3% of cumulative customers become subscribers</t>
        </is>
      </c>
    </row>
    <row r="15" ht="22" customHeight="1">
      <c r="A15" s="6" t="inlineStr">
        <is>
          <t>Avg subscription revenue / subscriber (₹)</t>
        </is>
      </c>
      <c r="B15" s="14" t="n">
        <v>1500</v>
      </c>
      <c r="C15" s="8" t="inlineStr">
        <is>
          <t>Blended across ₹999, ₹1,799, ₹2,999 plans</t>
        </is>
      </c>
    </row>
    <row r="16" ht="22" customHeight="1">
      <c r="A16" s="4" t="inlineStr">
        <is>
          <t>── COST STRUCTURE ──</t>
        </is>
      </c>
      <c r="B16" s="5" t="n"/>
      <c r="C16" s="5" t="n"/>
    </row>
    <row r="17" ht="22" customHeight="1">
      <c r="A17" s="6" t="inlineStr">
        <is>
          <t>Fixed costs / month (₹)</t>
        </is>
      </c>
      <c r="B17" s="14" t="n">
        <v>120000</v>
      </c>
      <c r="C17" s="8" t="inlineStr">
        <is>
          <t>Salaries + rent + tech infrastructure</t>
        </is>
      </c>
    </row>
    <row r="18" ht="22" customHeight="1">
      <c r="A18" s="9" t="inlineStr">
        <is>
          <t>Variable cost per order (₹)</t>
        </is>
      </c>
      <c r="B18" s="13" t="n">
        <v>85</v>
      </c>
      <c r="C18" s="11" t="inlineStr">
        <is>
          <t>Partner payout + packaging + misc</t>
        </is>
      </c>
    </row>
    <row r="19" ht="22" customHeight="1">
      <c r="A19" s="4" t="inlineStr">
        <is>
          <t>── CUSTOMER ACQUISITION ──</t>
        </is>
      </c>
      <c r="B19" s="5" t="n"/>
      <c r="C19" s="5" t="n"/>
    </row>
    <row r="20" ht="22" customHeight="1">
      <c r="A20" s="9" t="inlineStr">
        <is>
          <t>CAC — customer acquisition cost (₹)</t>
        </is>
      </c>
      <c r="B20" s="13" t="n">
        <v>200</v>
      </c>
      <c r="C20" s="11" t="inlineStr">
        <is>
          <t>Blended digital + referral CAC</t>
        </is>
      </c>
    </row>
    <row r="21" ht="22" customHeight="1">
      <c r="A21" s="6" t="inlineStr">
        <is>
          <t>Monthly new customers (% of orders)</t>
        </is>
      </c>
      <c r="B21" s="12" t="n">
        <v>0.1</v>
      </c>
      <c r="C21" s="8" t="inlineStr">
        <is>
          <t>10% of monthly orders = new unique users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 ht="36" customHeight="1">
      <c r="A1" s="1" t="inlineStr">
        <is>
          <t>WashGo — 18-Month P&amp;L Projection</t>
        </is>
      </c>
    </row>
    <row r="2" ht="18" customHeight="1">
      <c r="A2" s="2" t="inlineStr">
        <is>
          <t>Figures in Indian Rupees (₹). Assumptions referenced from 'Assumptions' sheet.</t>
        </is>
      </c>
    </row>
    <row r="3" ht="36" customHeight="1">
      <c r="A3" s="15" t="inlineStr">
        <is>
          <t>Month</t>
        </is>
      </c>
      <c r="B3" s="15" t="inlineStr">
        <is>
          <t>Orders</t>
        </is>
      </c>
      <c r="C3" s="15" t="inlineStr">
        <is>
          <t>Commission
Revenue (₹)</t>
        </is>
      </c>
      <c r="D3" s="15" t="inlineStr">
        <is>
          <t>Delivery
Revenue (₹)</t>
        </is>
      </c>
      <c r="E3" s="15" t="inlineStr">
        <is>
          <t>Subscription
Revenue (₹)</t>
        </is>
      </c>
      <c r="F3" s="15" t="inlineStr">
        <is>
          <t>Total
Revenue (₹)</t>
        </is>
      </c>
      <c r="G3" s="15" t="inlineStr">
        <is>
          <t>Variable
Costs (₹)</t>
        </is>
      </c>
      <c r="H3" s="15" t="inlineStr">
        <is>
          <t>Fixed
Costs (₹)</t>
        </is>
      </c>
      <c r="I3" s="15" t="inlineStr">
        <is>
          <t>Total
Costs (₹)</t>
        </is>
      </c>
      <c r="J3" s="15" t="inlineStr">
        <is>
          <t>EBITDA (₹)</t>
        </is>
      </c>
      <c r="K3" s="15" t="inlineStr">
        <is>
          <t>Cumulative
Cash (₹)</t>
        </is>
      </c>
    </row>
    <row r="4" ht="20" customHeight="1">
      <c r="A4" s="6" t="inlineStr">
        <is>
          <t>Month 1</t>
        </is>
      </c>
      <c r="B4" s="16" t="n">
        <v>50</v>
      </c>
      <c r="C4" s="17" t="n">
        <v>4750</v>
      </c>
      <c r="D4" s="17" t="n">
        <v>2450</v>
      </c>
      <c r="E4" s="17" t="n">
        <v>0</v>
      </c>
      <c r="F4" s="18" t="n">
        <v>7200</v>
      </c>
      <c r="G4" s="17" t="n">
        <v>4250</v>
      </c>
      <c r="H4" s="17" t="n">
        <v>120000</v>
      </c>
      <c r="I4" s="19" t="n">
        <v>124250</v>
      </c>
      <c r="J4" s="20" t="n">
        <v>-117050</v>
      </c>
      <c r="K4" s="20" t="n">
        <v>-117050</v>
      </c>
    </row>
    <row r="5" ht="20" customHeight="1">
      <c r="A5" s="9" t="inlineStr">
        <is>
          <t>Month 2</t>
        </is>
      </c>
      <c r="B5" s="21" t="n">
        <v>65</v>
      </c>
      <c r="C5" s="22" t="n">
        <v>6175</v>
      </c>
      <c r="D5" s="22" t="n">
        <v>3185</v>
      </c>
      <c r="E5" s="22" t="n">
        <v>0</v>
      </c>
      <c r="F5" s="23" t="n">
        <v>9360</v>
      </c>
      <c r="G5" s="22" t="n">
        <v>5525</v>
      </c>
      <c r="H5" s="22" t="n">
        <v>120000</v>
      </c>
      <c r="I5" s="24" t="n">
        <v>125525</v>
      </c>
      <c r="J5" s="25" t="n">
        <v>-116165</v>
      </c>
      <c r="K5" s="25" t="n">
        <v>-233215</v>
      </c>
    </row>
    <row r="6" ht="20" customHeight="1">
      <c r="A6" s="6" t="inlineStr">
        <is>
          <t>Month 3</t>
        </is>
      </c>
      <c r="B6" s="16" t="n">
        <v>84</v>
      </c>
      <c r="C6" s="17" t="n">
        <v>7980</v>
      </c>
      <c r="D6" s="17" t="n">
        <v>4116</v>
      </c>
      <c r="E6" s="17" t="n">
        <v>1500</v>
      </c>
      <c r="F6" s="18" t="n">
        <v>13596</v>
      </c>
      <c r="G6" s="17" t="n">
        <v>7140</v>
      </c>
      <c r="H6" s="17" t="n">
        <v>120000</v>
      </c>
      <c r="I6" s="19" t="n">
        <v>127140</v>
      </c>
      <c r="J6" s="20" t="n">
        <v>-113544</v>
      </c>
      <c r="K6" s="20" t="n">
        <v>-346759</v>
      </c>
    </row>
    <row r="7" ht="20" customHeight="1">
      <c r="A7" s="9" t="inlineStr">
        <is>
          <t>Month 4</t>
        </is>
      </c>
      <c r="B7" s="21" t="n">
        <v>109</v>
      </c>
      <c r="C7" s="22" t="n">
        <v>10355</v>
      </c>
      <c r="D7" s="22" t="n">
        <v>5341</v>
      </c>
      <c r="E7" s="22" t="n">
        <v>1500</v>
      </c>
      <c r="F7" s="23" t="n">
        <v>17196</v>
      </c>
      <c r="G7" s="22" t="n">
        <v>9265</v>
      </c>
      <c r="H7" s="22" t="n">
        <v>120000</v>
      </c>
      <c r="I7" s="24" t="n">
        <v>129265</v>
      </c>
      <c r="J7" s="25" t="n">
        <v>-112069</v>
      </c>
      <c r="K7" s="25" t="n">
        <v>-458828</v>
      </c>
    </row>
    <row r="8" ht="20" customHeight="1">
      <c r="A8" s="6" t="inlineStr">
        <is>
          <t>Month 5</t>
        </is>
      </c>
      <c r="B8" s="16" t="n">
        <v>142</v>
      </c>
      <c r="C8" s="17" t="n">
        <v>13490</v>
      </c>
      <c r="D8" s="17" t="n">
        <v>6958</v>
      </c>
      <c r="E8" s="17" t="n">
        <v>1500</v>
      </c>
      <c r="F8" s="18" t="n">
        <v>21948</v>
      </c>
      <c r="G8" s="17" t="n">
        <v>12070</v>
      </c>
      <c r="H8" s="17" t="n">
        <v>120000</v>
      </c>
      <c r="I8" s="19" t="n">
        <v>132070</v>
      </c>
      <c r="J8" s="20" t="n">
        <v>-110122</v>
      </c>
      <c r="K8" s="20" t="n">
        <v>-568950</v>
      </c>
    </row>
    <row r="9" ht="20" customHeight="1">
      <c r="A9" s="9" t="inlineStr">
        <is>
          <t>Month 6</t>
        </is>
      </c>
      <c r="B9" s="21" t="n">
        <v>185</v>
      </c>
      <c r="C9" s="22" t="n">
        <v>17575</v>
      </c>
      <c r="D9" s="22" t="n">
        <v>9065</v>
      </c>
      <c r="E9" s="22" t="n">
        <v>3000</v>
      </c>
      <c r="F9" s="23" t="n">
        <v>29640</v>
      </c>
      <c r="G9" s="22" t="n">
        <v>15725</v>
      </c>
      <c r="H9" s="22" t="n">
        <v>120000</v>
      </c>
      <c r="I9" s="24" t="n">
        <v>135725</v>
      </c>
      <c r="J9" s="25" t="n">
        <v>-106085</v>
      </c>
      <c r="K9" s="25" t="n">
        <v>-675035</v>
      </c>
    </row>
    <row r="10" ht="20" customHeight="1">
      <c r="A10" s="6" t="inlineStr">
        <is>
          <t>Month 7</t>
        </is>
      </c>
      <c r="B10" s="16" t="n">
        <v>240</v>
      </c>
      <c r="C10" s="17" t="n">
        <v>22800</v>
      </c>
      <c r="D10" s="17" t="n">
        <v>11760</v>
      </c>
      <c r="E10" s="17" t="n">
        <v>4500</v>
      </c>
      <c r="F10" s="18" t="n">
        <v>39060</v>
      </c>
      <c r="G10" s="17" t="n">
        <v>20400</v>
      </c>
      <c r="H10" s="17" t="n">
        <v>120000</v>
      </c>
      <c r="I10" s="19" t="n">
        <v>140400</v>
      </c>
      <c r="J10" s="20" t="n">
        <v>-101340</v>
      </c>
      <c r="K10" s="20" t="n">
        <v>-776375</v>
      </c>
    </row>
    <row r="11" ht="20" customHeight="1">
      <c r="A11" s="9" t="inlineStr">
        <is>
          <t>Month 8</t>
        </is>
      </c>
      <c r="B11" s="21" t="n">
        <v>288</v>
      </c>
      <c r="C11" s="22" t="n">
        <v>27360</v>
      </c>
      <c r="D11" s="22" t="n">
        <v>14112</v>
      </c>
      <c r="E11" s="22" t="n">
        <v>4500</v>
      </c>
      <c r="F11" s="23" t="n">
        <v>45972</v>
      </c>
      <c r="G11" s="22" t="n">
        <v>24480</v>
      </c>
      <c r="H11" s="22" t="n">
        <v>120000</v>
      </c>
      <c r="I11" s="24" t="n">
        <v>144480</v>
      </c>
      <c r="J11" s="25" t="n">
        <v>-98508</v>
      </c>
      <c r="K11" s="25" t="n">
        <v>-874883</v>
      </c>
    </row>
    <row r="12" ht="20" customHeight="1">
      <c r="A12" s="6" t="inlineStr">
        <is>
          <t>Month 9</t>
        </is>
      </c>
      <c r="B12" s="16" t="n">
        <v>346</v>
      </c>
      <c r="C12" s="17" t="n">
        <v>32870</v>
      </c>
      <c r="D12" s="17" t="n">
        <v>16954</v>
      </c>
      <c r="E12" s="17" t="n">
        <v>6000</v>
      </c>
      <c r="F12" s="18" t="n">
        <v>55824</v>
      </c>
      <c r="G12" s="17" t="n">
        <v>29410</v>
      </c>
      <c r="H12" s="17" t="n">
        <v>120000</v>
      </c>
      <c r="I12" s="19" t="n">
        <v>149410</v>
      </c>
      <c r="J12" s="20" t="n">
        <v>-93586</v>
      </c>
      <c r="K12" s="20" t="n">
        <v>-968469</v>
      </c>
    </row>
    <row r="13" ht="20" customHeight="1">
      <c r="A13" s="9" t="inlineStr">
        <is>
          <t>Month 10</t>
        </is>
      </c>
      <c r="B13" s="21" t="n">
        <v>415</v>
      </c>
      <c r="C13" s="22" t="n">
        <v>39425</v>
      </c>
      <c r="D13" s="22" t="n">
        <v>20335</v>
      </c>
      <c r="E13" s="22" t="n">
        <v>9000</v>
      </c>
      <c r="F13" s="23" t="n">
        <v>68760</v>
      </c>
      <c r="G13" s="22" t="n">
        <v>35275</v>
      </c>
      <c r="H13" s="22" t="n">
        <v>120000</v>
      </c>
      <c r="I13" s="24" t="n">
        <v>155275</v>
      </c>
      <c r="J13" s="25" t="n">
        <v>-86515</v>
      </c>
      <c r="K13" s="25" t="n">
        <v>-1054984</v>
      </c>
    </row>
    <row r="14" ht="20" customHeight="1">
      <c r="A14" s="6" t="inlineStr">
        <is>
          <t>Month 11</t>
        </is>
      </c>
      <c r="B14" s="16" t="n">
        <v>498</v>
      </c>
      <c r="C14" s="17" t="n">
        <v>47310</v>
      </c>
      <c r="D14" s="17" t="n">
        <v>24402</v>
      </c>
      <c r="E14" s="17" t="n">
        <v>10500</v>
      </c>
      <c r="F14" s="18" t="n">
        <v>82212</v>
      </c>
      <c r="G14" s="17" t="n">
        <v>42330</v>
      </c>
      <c r="H14" s="17" t="n">
        <v>120000</v>
      </c>
      <c r="I14" s="19" t="n">
        <v>162330</v>
      </c>
      <c r="J14" s="20" t="n">
        <v>-80118</v>
      </c>
      <c r="K14" s="20" t="n">
        <v>-1135102</v>
      </c>
    </row>
    <row r="15" ht="20" customHeight="1">
      <c r="A15" s="9" t="inlineStr">
        <is>
          <t>Month 12</t>
        </is>
      </c>
      <c r="B15" s="21" t="n">
        <v>598</v>
      </c>
      <c r="C15" s="22" t="n">
        <v>56810</v>
      </c>
      <c r="D15" s="22" t="n">
        <v>29302</v>
      </c>
      <c r="E15" s="22" t="n">
        <v>13500</v>
      </c>
      <c r="F15" s="23" t="n">
        <v>99612</v>
      </c>
      <c r="G15" s="22" t="n">
        <v>50830</v>
      </c>
      <c r="H15" s="22" t="n">
        <v>120000</v>
      </c>
      <c r="I15" s="24" t="n">
        <v>170830</v>
      </c>
      <c r="J15" s="25" t="n">
        <v>-71218</v>
      </c>
      <c r="K15" s="25" t="n">
        <v>-1206320</v>
      </c>
    </row>
    <row r="16" ht="20" customHeight="1">
      <c r="A16" s="6" t="inlineStr">
        <is>
          <t>Month 13</t>
        </is>
      </c>
      <c r="B16" s="16" t="n">
        <v>718</v>
      </c>
      <c r="C16" s="17" t="n">
        <v>68210</v>
      </c>
      <c r="D16" s="17" t="n">
        <v>35182</v>
      </c>
      <c r="E16" s="17" t="n">
        <v>16500</v>
      </c>
      <c r="F16" s="18" t="n">
        <v>119892</v>
      </c>
      <c r="G16" s="17" t="n">
        <v>61030</v>
      </c>
      <c r="H16" s="17" t="n">
        <v>120000</v>
      </c>
      <c r="I16" s="19" t="n">
        <v>181030</v>
      </c>
      <c r="J16" s="20" t="n">
        <v>-61138</v>
      </c>
      <c r="K16" s="20" t="n">
        <v>-1267458</v>
      </c>
    </row>
    <row r="17" ht="20" customHeight="1">
      <c r="A17" s="9" t="inlineStr">
        <is>
          <t>Month 14</t>
        </is>
      </c>
      <c r="B17" s="21" t="n">
        <v>826</v>
      </c>
      <c r="C17" s="22" t="n">
        <v>78470</v>
      </c>
      <c r="D17" s="22" t="n">
        <v>40474</v>
      </c>
      <c r="E17" s="22" t="n">
        <v>21000</v>
      </c>
      <c r="F17" s="23" t="n">
        <v>139944</v>
      </c>
      <c r="G17" s="22" t="n">
        <v>70210</v>
      </c>
      <c r="H17" s="22" t="n">
        <v>120000</v>
      </c>
      <c r="I17" s="24" t="n">
        <v>190210</v>
      </c>
      <c r="J17" s="25" t="n">
        <v>-50266</v>
      </c>
      <c r="K17" s="25" t="n">
        <v>-1317724</v>
      </c>
    </row>
    <row r="18" ht="20" customHeight="1">
      <c r="A18" s="6" t="inlineStr">
        <is>
          <t>Month 15</t>
        </is>
      </c>
      <c r="B18" s="16" t="n">
        <v>950</v>
      </c>
      <c r="C18" s="17" t="n">
        <v>90250</v>
      </c>
      <c r="D18" s="17" t="n">
        <v>46550</v>
      </c>
      <c r="E18" s="17" t="n">
        <v>25500</v>
      </c>
      <c r="F18" s="18" t="n">
        <v>162300</v>
      </c>
      <c r="G18" s="17" t="n">
        <v>80750</v>
      </c>
      <c r="H18" s="17" t="n">
        <v>120000</v>
      </c>
      <c r="I18" s="19" t="n">
        <v>200750</v>
      </c>
      <c r="J18" s="20" t="n">
        <v>-38450</v>
      </c>
      <c r="K18" s="20" t="n">
        <v>-1356174</v>
      </c>
    </row>
    <row r="19" ht="20" customHeight="1">
      <c r="A19" s="9" t="inlineStr">
        <is>
          <t>Month 16</t>
        </is>
      </c>
      <c r="B19" s="21" t="n">
        <v>1092</v>
      </c>
      <c r="C19" s="22" t="n">
        <v>103740</v>
      </c>
      <c r="D19" s="22" t="n">
        <v>53508</v>
      </c>
      <c r="E19" s="22" t="n">
        <v>30000</v>
      </c>
      <c r="F19" s="23" t="n">
        <v>187248</v>
      </c>
      <c r="G19" s="22" t="n">
        <v>92820</v>
      </c>
      <c r="H19" s="22" t="n">
        <v>120000</v>
      </c>
      <c r="I19" s="24" t="n">
        <v>212820</v>
      </c>
      <c r="J19" s="25" t="n">
        <v>-25572</v>
      </c>
      <c r="K19" s="25" t="n">
        <v>-1381746</v>
      </c>
    </row>
    <row r="20" ht="20" customHeight="1">
      <c r="A20" s="6" t="inlineStr">
        <is>
          <t>Month 17</t>
        </is>
      </c>
      <c r="B20" s="16" t="n">
        <v>1256</v>
      </c>
      <c r="C20" s="17" t="n">
        <v>119320</v>
      </c>
      <c r="D20" s="17" t="n">
        <v>61544</v>
      </c>
      <c r="E20" s="17" t="n">
        <v>36000</v>
      </c>
      <c r="F20" s="18" t="n">
        <v>216864</v>
      </c>
      <c r="G20" s="17" t="n">
        <v>106760</v>
      </c>
      <c r="H20" s="17" t="n">
        <v>120000</v>
      </c>
      <c r="I20" s="19" t="n">
        <v>226760</v>
      </c>
      <c r="J20" s="20" t="n">
        <v>-9896</v>
      </c>
      <c r="K20" s="20" t="n">
        <v>-1391642</v>
      </c>
    </row>
    <row r="21" ht="20" customHeight="1">
      <c r="A21" s="9" t="inlineStr">
        <is>
          <t>Month 18</t>
        </is>
      </c>
      <c r="B21" s="21" t="n">
        <v>1444</v>
      </c>
      <c r="C21" s="22" t="n">
        <v>137180</v>
      </c>
      <c r="D21" s="22" t="n">
        <v>70756</v>
      </c>
      <c r="E21" s="22" t="n">
        <v>42000</v>
      </c>
      <c r="F21" s="23" t="n">
        <v>249936</v>
      </c>
      <c r="G21" s="22" t="n">
        <v>122740</v>
      </c>
      <c r="H21" s="22" t="n">
        <v>120000</v>
      </c>
      <c r="I21" s="24" t="n">
        <v>242740</v>
      </c>
      <c r="J21" s="23" t="n">
        <v>7196</v>
      </c>
      <c r="K21" s="25" t="n">
        <v>-1384446</v>
      </c>
    </row>
    <row r="22" ht="24" customHeight="1">
      <c r="A22" s="3" t="inlineStr">
        <is>
          <t>TOTAL / AVERAGE</t>
        </is>
      </c>
      <c r="B22" s="26">
        <f>SUM(B4:B21)</f>
        <v/>
      </c>
      <c r="C22" s="27">
        <f>SUM(C4:C21)</f>
        <v/>
      </c>
      <c r="D22" s="27">
        <f>SUM(D4:D21)</f>
        <v/>
      </c>
      <c r="E22" s="27">
        <f>SUM(E4:E21)</f>
        <v/>
      </c>
      <c r="F22" s="27">
        <f>SUM(F4:F21)</f>
        <v/>
      </c>
      <c r="G22" s="27">
        <f>SUM(G4:G21)</f>
        <v/>
      </c>
      <c r="H22" s="27">
        <f>SUM(H4:H21)</f>
        <v/>
      </c>
      <c r="I22" s="27">
        <f>SUM(I4:I21)</f>
        <v/>
      </c>
      <c r="J22" s="27">
        <f>SUM(J4:J21)</f>
        <v/>
      </c>
      <c r="K22" s="3" t="inlineStr">
        <is>
          <t>—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  <col width="14" customWidth="1" min="11" max="11"/>
  </cols>
  <sheetData>
    <row r="1" ht="36" customHeight="1">
      <c r="A1" s="28" t="inlineStr">
        <is>
          <t>WashGo — Unit Economics per Service</t>
        </is>
      </c>
    </row>
    <row r="2" ht="18" customHeight="1">
      <c r="A2" s="29" t="inlineStr">
        <is>
          <t>Per-order economics for each service type. Commission = 25% | Delivery fee = ₹49 | Partner payout = 65% of service price | Packaging = ₹15</t>
        </is>
      </c>
    </row>
    <row r="3" ht="36" customHeight="1">
      <c r="A3" s="30" t="inlineStr">
        <is>
          <t>Service</t>
        </is>
      </c>
      <c r="B3" s="30" t="inlineStr">
        <is>
          <t>Unit</t>
        </is>
      </c>
      <c r="C3" s="30" t="inlineStr">
        <is>
          <t>Avg Qty
per Order</t>
        </is>
      </c>
      <c r="D3" s="30" t="inlineStr">
        <is>
          <t>Unit
Price (₹)</t>
        </is>
      </c>
      <c r="E3" s="30" t="inlineStr">
        <is>
          <t>Gross Order
Value (₹)</t>
        </is>
      </c>
      <c r="F3" s="30" t="inlineStr">
        <is>
          <t>WashGo
Commission (₹)</t>
        </is>
      </c>
      <c r="G3" s="30" t="inlineStr">
        <is>
          <t>Delivery
Fee (₹)</t>
        </is>
      </c>
      <c r="H3" s="30" t="inlineStr">
        <is>
          <t>Partner
Payout (₹)</t>
        </is>
      </c>
      <c r="I3" s="30" t="inlineStr">
        <is>
          <t>Packaging
(₹)</t>
        </is>
      </c>
      <c r="J3" s="30" t="inlineStr">
        <is>
          <t>WashGo Gross
Profit / Order (₹)</t>
        </is>
      </c>
      <c r="K3" s="30" t="inlineStr">
        <is>
          <t>Gross
Margin %</t>
        </is>
      </c>
    </row>
    <row r="4" ht="22" customHeight="1">
      <c r="A4" s="31" t="inlineStr">
        <is>
          <t>Regular Wash</t>
        </is>
      </c>
      <c r="B4" s="32" t="inlineStr">
        <is>
          <t>kg</t>
        </is>
      </c>
      <c r="C4" s="33" t="n">
        <v>5</v>
      </c>
      <c r="D4" s="34" t="n">
        <v>60</v>
      </c>
      <c r="E4" s="35" t="n">
        <v>300</v>
      </c>
      <c r="F4" s="36" t="n">
        <v>75</v>
      </c>
      <c r="G4" s="37" t="n">
        <v>49</v>
      </c>
      <c r="H4" s="38" t="n">
        <v>195</v>
      </c>
      <c r="I4" s="39" t="n">
        <v>15</v>
      </c>
      <c r="J4" s="40" t="n">
        <v>109</v>
      </c>
      <c r="K4" s="41" t="n">
        <v>0.3123209169054441</v>
      </c>
    </row>
    <row r="5" ht="22" customHeight="1">
      <c r="A5" s="6" t="inlineStr">
        <is>
          <t>Express Wash</t>
        </is>
      </c>
      <c r="B5" s="42" t="inlineStr">
        <is>
          <t>kg</t>
        </is>
      </c>
      <c r="C5" s="43" t="n">
        <v>4.5</v>
      </c>
      <c r="D5" s="44" t="n">
        <v>100</v>
      </c>
      <c r="E5" s="45" t="n">
        <v>450</v>
      </c>
      <c r="F5" s="46" t="n">
        <v>112.5</v>
      </c>
      <c r="G5" s="47" t="n">
        <v>49</v>
      </c>
      <c r="H5" s="48" t="n">
        <v>292.5</v>
      </c>
      <c r="I5" s="14" t="n">
        <v>15</v>
      </c>
      <c r="J5" s="49" t="n">
        <v>146.5</v>
      </c>
      <c r="K5" s="50" t="n">
        <v>0.2935871743486974</v>
      </c>
    </row>
    <row r="6" ht="22" customHeight="1">
      <c r="A6" s="31" t="inlineStr">
        <is>
          <t>Dry Cleaning</t>
        </is>
      </c>
      <c r="B6" s="32" t="inlineStr">
        <is>
          <t>piece</t>
        </is>
      </c>
      <c r="C6" s="33" t="n">
        <v>4</v>
      </c>
      <c r="D6" s="34" t="n">
        <v>150</v>
      </c>
      <c r="E6" s="35" t="n">
        <v>600</v>
      </c>
      <c r="F6" s="36" t="n">
        <v>150</v>
      </c>
      <c r="G6" s="37" t="n">
        <v>49</v>
      </c>
      <c r="H6" s="38" t="n">
        <v>390</v>
      </c>
      <c r="I6" s="39" t="n">
        <v>15</v>
      </c>
      <c r="J6" s="40" t="n">
        <v>184</v>
      </c>
      <c r="K6" s="41" t="n">
        <v>0.2835130970724191</v>
      </c>
    </row>
    <row r="7" ht="22" customHeight="1">
      <c r="A7" s="6" t="inlineStr">
        <is>
          <t>Premium Care</t>
        </is>
      </c>
      <c r="B7" s="42" t="inlineStr">
        <is>
          <t>piece</t>
        </is>
      </c>
      <c r="C7" s="43" t="n">
        <v>3</v>
      </c>
      <c r="D7" s="44" t="n">
        <v>200</v>
      </c>
      <c r="E7" s="45" t="n">
        <v>600</v>
      </c>
      <c r="F7" s="46" t="n">
        <v>150</v>
      </c>
      <c r="G7" s="47" t="n">
        <v>49</v>
      </c>
      <c r="H7" s="48" t="n">
        <v>390</v>
      </c>
      <c r="I7" s="14" t="n">
        <v>15</v>
      </c>
      <c r="J7" s="49" t="n">
        <v>184</v>
      </c>
      <c r="K7" s="50" t="n">
        <v>0.2835130970724191</v>
      </c>
    </row>
    <row r="8" ht="22" customHeight="1">
      <c r="A8" s="31" t="inlineStr">
        <is>
          <t>Ironing Only</t>
        </is>
      </c>
      <c r="B8" s="32" t="inlineStr">
        <is>
          <t>piece</t>
        </is>
      </c>
      <c r="C8" s="33" t="n">
        <v>10</v>
      </c>
      <c r="D8" s="34" t="n">
        <v>20</v>
      </c>
      <c r="E8" s="35" t="n">
        <v>200</v>
      </c>
      <c r="F8" s="36" t="n">
        <v>50</v>
      </c>
      <c r="G8" s="37" t="n">
        <v>49</v>
      </c>
      <c r="H8" s="38" t="n">
        <v>130</v>
      </c>
      <c r="I8" s="39" t="n">
        <v>15</v>
      </c>
      <c r="J8" s="40" t="n">
        <v>84</v>
      </c>
      <c r="K8" s="41" t="n">
        <v>0.3373493975903614</v>
      </c>
    </row>
    <row r="9" ht="22" customHeight="1">
      <c r="A9" s="6" t="inlineStr">
        <is>
          <t>Wash &amp; Iron</t>
        </is>
      </c>
      <c r="B9" s="42" t="inlineStr">
        <is>
          <t>kg</t>
        </is>
      </c>
      <c r="C9" s="43" t="n">
        <v>4.5</v>
      </c>
      <c r="D9" s="44" t="n">
        <v>80</v>
      </c>
      <c r="E9" s="45" t="n">
        <v>360</v>
      </c>
      <c r="F9" s="46" t="n">
        <v>90</v>
      </c>
      <c r="G9" s="47" t="n">
        <v>49</v>
      </c>
      <c r="H9" s="48" t="n">
        <v>234</v>
      </c>
      <c r="I9" s="14" t="n">
        <v>15</v>
      </c>
      <c r="J9" s="49" t="n">
        <v>124</v>
      </c>
      <c r="K9" s="50" t="n">
        <v>0.3031784841075795</v>
      </c>
    </row>
    <row r="10" ht="24" customHeight="1">
      <c r="A10" s="51" t="inlineStr">
        <is>
          <t>AVERAGE / BLENDED</t>
        </is>
      </c>
      <c r="B10" s="52" t="n"/>
      <c r="C10" s="52" t="n"/>
      <c r="D10" s="52" t="n"/>
      <c r="E10" s="40">
        <f>AVERAGE(E4:E9)</f>
        <v/>
      </c>
      <c r="F10" s="40">
        <f>AVERAGE(F4:F9)</f>
        <v/>
      </c>
      <c r="G10" s="52" t="n"/>
      <c r="H10" s="52" t="n"/>
      <c r="I10" s="52" t="n"/>
      <c r="J10" s="40">
        <f>AVERAGE(J4:J9)</f>
        <v/>
      </c>
      <c r="K10" s="53">
        <f>AVERAGE(K4:K9)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48" customWidth="1" min="3" max="3"/>
  </cols>
  <sheetData>
    <row r="1" ht="36" customHeight="1">
      <c r="A1" s="54" t="inlineStr">
        <is>
          <t>WashGo — Break-even Analysis</t>
        </is>
      </c>
    </row>
    <row r="2" ht="18" customHeight="1">
      <c r="A2" s="55" t="inlineStr">
        <is>
          <t>Monthly fixed cost breakdown and contribution margin calculation to determine break-even order volume.</t>
        </is>
      </c>
    </row>
    <row r="3">
      <c r="A3" s="56" t="inlineStr">
        <is>
          <t>SECTION 1 — Monthly Fixed Cost Breakdown</t>
        </is>
      </c>
      <c r="B3" s="57" t="n"/>
      <c r="C3" s="57" t="n"/>
    </row>
    <row r="4">
      <c r="A4" s="58" t="inlineStr">
        <is>
          <t>Cost Item</t>
        </is>
      </c>
      <c r="B4" s="58" t="inlineStr">
        <is>
          <t>Monthly Amount (₹)</t>
        </is>
      </c>
      <c r="C4" s="58" t="inlineStr">
        <is>
          <t>Notes</t>
        </is>
      </c>
    </row>
    <row r="5">
      <c r="A5" s="6" t="inlineStr">
        <is>
          <t>Founder Salaries (2 co-founders)</t>
        </is>
      </c>
      <c r="B5" s="59" t="n">
        <v>60000</v>
      </c>
      <c r="C5" s="8" t="inlineStr">
        <is>
          <t>Early-stage modest draw</t>
        </is>
      </c>
    </row>
    <row r="6">
      <c r="A6" s="9" t="inlineStr">
        <is>
          <t>Tech (hosting, tools, SaaS)</t>
        </is>
      </c>
      <c r="B6" s="60" t="n">
        <v>15000</v>
      </c>
      <c r="C6" s="11" t="inlineStr">
        <is>
          <t>AWS + Firebase + misc SaaS</t>
        </is>
      </c>
    </row>
    <row r="7">
      <c r="A7" s="6" t="inlineStr">
        <is>
          <t>Operations Manager</t>
        </is>
      </c>
      <c r="B7" s="59" t="n">
        <v>25000</v>
      </c>
      <c r="C7" s="8" t="inlineStr">
        <is>
          <t>1 FTE operations hire</t>
        </is>
      </c>
    </row>
    <row r="8">
      <c r="A8" s="9" t="inlineStr">
        <is>
          <t>Marketing (digital + referral)</t>
        </is>
      </c>
      <c r="B8" s="60" t="n">
        <v>15000</v>
      </c>
      <c r="C8" s="11" t="inlineStr">
        <is>
          <t>Meta Ads + Google + referral</t>
        </is>
      </c>
    </row>
    <row r="9">
      <c r="A9" s="6" t="inlineStr">
        <is>
          <t>Office / Miscellaneous</t>
        </is>
      </c>
      <c r="B9" s="59" t="n">
        <v>5000</v>
      </c>
      <c r="C9" s="8" t="inlineStr">
        <is>
          <t>Stationery, utilities, travel</t>
        </is>
      </c>
    </row>
    <row r="10" ht="24" customHeight="1">
      <c r="A10" s="61" t="inlineStr">
        <is>
          <t>TOTAL MONTHLY FIXED COSTS</t>
        </is>
      </c>
      <c r="B10" s="62" t="n">
        <v>120000</v>
      </c>
      <c r="C10" s="63" t="inlineStr">
        <is>
          <t>Sum of all recurring monthly costs</t>
        </is>
      </c>
    </row>
    <row r="12">
      <c r="A12" s="56" t="inlineStr">
        <is>
          <t>SECTION 2 — Contribution Margin per Order</t>
        </is>
      </c>
      <c r="B12" s="5" t="n"/>
      <c r="C12" s="5" t="n"/>
    </row>
    <row r="13">
      <c r="A13" s="64" t="inlineStr">
        <is>
          <t>Metric</t>
        </is>
      </c>
      <c r="B13" s="64" t="inlineStr">
        <is>
          <t>Value (₹)</t>
        </is>
      </c>
      <c r="C13" s="64" t="inlineStr">
        <is>
          <t>Formula / Notes</t>
        </is>
      </c>
    </row>
    <row r="14">
      <c r="A14" s="9" t="inlineStr">
        <is>
          <t>Average Gross Order Value</t>
        </is>
      </c>
      <c r="B14" s="22" t="n">
        <v>380</v>
      </c>
      <c r="C14" s="11" t="inlineStr">
        <is>
          <t>Blended across 6 service types</t>
        </is>
      </c>
    </row>
    <row r="15">
      <c r="A15" s="6" t="inlineStr">
        <is>
          <t>× WashGo Commission (25%)</t>
        </is>
      </c>
      <c r="B15" s="17" t="n">
        <v>95</v>
      </c>
      <c r="C15" s="8">
        <f> Avg order value × 25%</f>
        <v/>
      </c>
    </row>
    <row r="16">
      <c r="A16" s="9" t="inlineStr">
        <is>
          <t>+ Delivery Fee (flat)</t>
        </is>
      </c>
      <c r="B16" s="22" t="n">
        <v>49</v>
      </c>
      <c r="C16" s="11" t="inlineStr">
        <is>
          <t>Flat ₹49 per pickup + delivery</t>
        </is>
      </c>
    </row>
    <row r="17">
      <c r="A17" s="6">
        <f> Total Revenue per Order</f>
        <v/>
      </c>
      <c r="B17" s="17" t="n">
        <v>144</v>
      </c>
      <c r="C17" s="8" t="inlineStr">
        <is>
          <t>Commission + Delivery fee</t>
        </is>
      </c>
    </row>
    <row r="18">
      <c r="A18" s="9" t="inlineStr">
        <is>
          <t>− Variable Cost per Order</t>
        </is>
      </c>
      <c r="B18" s="22" t="n">
        <v>85</v>
      </c>
      <c r="C18" s="11" t="inlineStr">
        <is>
          <t>Partner payout + packaging + ops</t>
        </is>
      </c>
    </row>
    <row r="19">
      <c r="A19" s="65">
        <f> CONTRIBUTION MARGIN / ORDER</f>
        <v/>
      </c>
      <c r="B19" s="66" t="n">
        <v>59</v>
      </c>
      <c r="C19" s="67" t="inlineStr">
        <is>
          <t>Revenue per order − Variable cost per order</t>
        </is>
      </c>
    </row>
    <row r="21">
      <c r="A21" s="56" t="inlineStr">
        <is>
          <t>SECTION 3 — Break-even Order Volume</t>
        </is>
      </c>
      <c r="B21" s="5" t="n"/>
      <c r="C21" s="5" t="n"/>
    </row>
    <row r="22">
      <c r="A22" s="68" t="inlineStr">
        <is>
          <t>Metric</t>
        </is>
      </c>
      <c r="B22" s="68" t="inlineStr">
        <is>
          <t>Value</t>
        </is>
      </c>
      <c r="C22" s="68" t="inlineStr">
        <is>
          <t>Explanation</t>
        </is>
      </c>
    </row>
    <row r="23" ht="22" customHeight="1">
      <c r="A23" s="69" t="inlineStr">
        <is>
          <t>Monthly Fixed Costs</t>
        </is>
      </c>
      <c r="B23" s="17" t="n">
        <v>120000</v>
      </c>
      <c r="C23" s="8" t="inlineStr">
        <is>
          <t>All costs that don't vary with order volume</t>
        </is>
      </c>
    </row>
    <row r="24" ht="26" customHeight="1">
      <c r="A24" s="70" t="inlineStr">
        <is>
          <t>Contribution Margin per Order</t>
        </is>
      </c>
      <c r="B24" s="23" t="n">
        <v>59</v>
      </c>
      <c r="C24" s="71" t="inlineStr">
        <is>
          <t>Revenue earned per order minus direct variable costs</t>
        </is>
      </c>
    </row>
    <row r="25" ht="26" customHeight="1">
      <c r="A25" s="72" t="inlineStr">
        <is>
          <t>Break-even Formula</t>
        </is>
      </c>
      <c r="B25" s="73" t="inlineStr">
        <is>
          <t>Fixed Costs ÷ Contribution Margin</t>
        </is>
      </c>
      <c r="C25" s="74" t="inlineStr">
        <is>
          <t>₹120,000 ÷ ₹59 per order</t>
        </is>
      </c>
    </row>
    <row r="26" ht="26" customHeight="1">
      <c r="A26" s="75" t="inlineStr">
        <is>
          <t>BREAK-EVEN ORDERS / MONTH</t>
        </is>
      </c>
      <c r="B26" s="76" t="n">
        <v>2034</v>
      </c>
      <c r="C26" s="75" t="inlineStr">
        <is>
          <t>≈ Month 11 at current growth trajectory (1,600 orders/month)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48" customWidth="1" min="4" max="4"/>
  </cols>
  <sheetData>
    <row r="1" ht="36" customHeight="1">
      <c r="A1" s="28" t="inlineStr">
        <is>
          <t>WashGo — Funding &amp; Runway Analysis</t>
        </is>
      </c>
    </row>
    <row r="2" ht="18" customHeight="1">
      <c r="A2" s="29" t="inlineStr">
        <is>
          <t>Seed round structure, burn rate, runway, and Series A milestone targets.</t>
        </is>
      </c>
    </row>
    <row r="3">
      <c r="A3" s="56" t="inlineStr">
        <is>
          <t>SECTION 1 — Seed Round Overview</t>
        </is>
      </c>
      <c r="B3" s="5" t="n"/>
      <c r="C3" s="5" t="n"/>
      <c r="D3" s="5" t="n"/>
    </row>
    <row r="4">
      <c r="A4" s="58" t="inlineStr">
        <is>
          <t>Parameter</t>
        </is>
      </c>
      <c r="B4" s="58" t="inlineStr">
        <is>
          <t>Value</t>
        </is>
      </c>
      <c r="C4" s="58" t="inlineStr">
        <is>
          <t>Amount (₹)</t>
        </is>
      </c>
      <c r="D4" s="58" t="inlineStr">
        <is>
          <t>Notes</t>
        </is>
      </c>
    </row>
    <row r="5">
      <c r="A5" s="6" t="inlineStr">
        <is>
          <t>Seed Round Amount</t>
        </is>
      </c>
      <c r="B5" s="77" t="inlineStr">
        <is>
          <t>₹1,50,00,000</t>
        </is>
      </c>
      <c r="C5" s="6" t="inlineStr"/>
      <c r="D5" s="8" t="inlineStr">
        <is>
          <t>₹1.5 Crore</t>
        </is>
      </c>
    </row>
    <row r="6">
      <c r="A6" s="9" t="inlineStr">
        <is>
          <t>Instrument</t>
        </is>
      </c>
      <c r="B6" s="78" t="inlineStr">
        <is>
          <t>SAFE / Convertible Note</t>
        </is>
      </c>
      <c r="C6" s="9" t="inlineStr"/>
      <c r="D6" s="11" t="inlineStr">
        <is>
          <t>Standard SAFE with valuation cap</t>
        </is>
      </c>
    </row>
    <row r="7">
      <c r="A7" s="6" t="inlineStr">
        <is>
          <t>Valuation Cap</t>
        </is>
      </c>
      <c r="B7" s="77" t="inlineStr">
        <is>
          <t>₹8,00,00,000</t>
        </is>
      </c>
      <c r="C7" s="6" t="inlineStr"/>
      <c r="D7" s="8" t="inlineStr">
        <is>
          <t>₹8 Crore post-money cap</t>
        </is>
      </c>
    </row>
    <row r="8">
      <c r="A8" s="9" t="inlineStr">
        <is>
          <t>Discount Rate</t>
        </is>
      </c>
      <c r="B8" s="78" t="inlineStr">
        <is>
          <t>20%</t>
        </is>
      </c>
      <c r="C8" s="9" t="inlineStr"/>
      <c r="D8" s="11" t="inlineStr">
        <is>
          <t>Standard early-stage discount</t>
        </is>
      </c>
    </row>
    <row r="9">
      <c r="A9" s="6" t="inlineStr">
        <is>
          <t>Use Period</t>
        </is>
      </c>
      <c r="B9" s="77" t="inlineStr">
        <is>
          <t>18 Months</t>
        </is>
      </c>
      <c r="C9" s="6" t="inlineStr"/>
      <c r="D9" s="8" t="inlineStr">
        <is>
          <t>Target: Series A readiness</t>
        </is>
      </c>
    </row>
    <row r="10">
      <c r="A10" s="9" t="inlineStr">
        <is>
          <t>Target Series A Raise</t>
        </is>
      </c>
      <c r="B10" s="78" t="inlineStr">
        <is>
          <t>₹8–10 Crore</t>
        </is>
      </c>
      <c r="C10" s="9" t="inlineStr"/>
      <c r="D10" s="11" t="inlineStr">
        <is>
          <t>At ₹40 Crore valuation</t>
        </is>
      </c>
    </row>
    <row r="12">
      <c r="A12" s="56" t="inlineStr">
        <is>
          <t>SECTION 2 — Monthly Burn Rate by Category</t>
        </is>
      </c>
      <c r="B12" s="5" t="n"/>
      <c r="C12" s="5" t="n"/>
      <c r="D12" s="5" t="n"/>
    </row>
    <row r="13">
      <c r="A13" s="68" t="inlineStr">
        <is>
          <t>Category</t>
        </is>
      </c>
      <c r="B13" s="68" t="inlineStr">
        <is>
          <t>Monthly Burn (₹)</t>
        </is>
      </c>
      <c r="C13" s="68" t="inlineStr">
        <is>
          <t>% of Total Burn</t>
        </is>
      </c>
      <c r="D13" s="68" t="inlineStr">
        <is>
          <t>Notes</t>
        </is>
      </c>
    </row>
    <row r="14">
      <c r="A14" s="9" t="inlineStr">
        <is>
          <t>Tech &amp; Product</t>
        </is>
      </c>
      <c r="B14" s="79" t="n">
        <v>31250</v>
      </c>
      <c r="C14" s="80" t="n">
        <v>0.25</v>
      </c>
      <c r="D14" s="11" t="inlineStr">
        <is>
          <t>25% of ₹1.5Cr ÷ 40 months (15% blended)</t>
        </is>
      </c>
    </row>
    <row r="15">
      <c r="A15" s="6" t="inlineStr">
        <is>
          <t>Operations &amp; Logistics</t>
        </is>
      </c>
      <c r="B15" s="81" t="n">
        <v>37500</v>
      </c>
      <c r="C15" s="82" t="n">
        <v>0.3</v>
      </c>
      <c r="D15" s="8" t="inlineStr">
        <is>
          <t>30% allocation · partner &amp; logistics costs</t>
        </is>
      </c>
    </row>
    <row r="16">
      <c r="A16" s="9" t="inlineStr">
        <is>
          <t>Marketing &amp; Acquisition</t>
        </is>
      </c>
      <c r="B16" s="79" t="n">
        <v>31250</v>
      </c>
      <c r="C16" s="80" t="n">
        <v>0.25</v>
      </c>
      <c r="D16" s="11" t="inlineStr">
        <is>
          <t>25% allocation · CAC + brand building</t>
        </is>
      </c>
    </row>
    <row r="17">
      <c r="A17" s="6" t="inlineStr">
        <is>
          <t>Team Salaries (3 hires)</t>
        </is>
      </c>
      <c r="B17" s="81" t="n">
        <v>18750</v>
      </c>
      <c r="C17" s="82" t="n">
        <v>0.15</v>
      </c>
      <c r="D17" s="8" t="inlineStr">
        <is>
          <t>15% allocation · ops mgr + 2 field staff</t>
        </is>
      </c>
    </row>
    <row r="18">
      <c r="A18" s="9" t="inlineStr">
        <is>
          <t>Working Capital &amp; Misc</t>
        </is>
      </c>
      <c r="B18" s="79" t="n">
        <v>6250</v>
      </c>
      <c r="C18" s="80" t="n">
        <v>0.05</v>
      </c>
      <c r="D18" s="11" t="inlineStr">
        <is>
          <t>5% allocation · deposits, buffer, misc</t>
        </is>
      </c>
    </row>
    <row r="19" ht="24" customHeight="1">
      <c r="A19" s="61" t="inlineStr">
        <is>
          <t>TOTAL MONTHLY BURN</t>
        </is>
      </c>
      <c r="B19" s="62" t="n">
        <v>125000</v>
      </c>
      <c r="C19" s="83" t="n">
        <v>1</v>
      </c>
      <c r="D19" s="61" t="inlineStr">
        <is>
          <t>Blended average monthly cash out across 18 months</t>
        </is>
      </c>
    </row>
    <row r="21">
      <c r="A21" s="56" t="inlineStr">
        <is>
          <t>SECTION 3 — Runway Calculation</t>
        </is>
      </c>
      <c r="B21" s="5" t="n"/>
      <c r="C21" s="5" t="n"/>
      <c r="D21" s="5" t="n"/>
    </row>
    <row r="22">
      <c r="A22" s="58" t="inlineStr">
        <is>
          <t>Metric</t>
        </is>
      </c>
      <c r="B22" s="58" t="inlineStr">
        <is>
          <t>Value</t>
        </is>
      </c>
      <c r="C22" s="58" t="inlineStr"/>
      <c r="D22" s="58" t="inlineStr">
        <is>
          <t>Notes</t>
        </is>
      </c>
    </row>
    <row r="23">
      <c r="A23" s="6" t="inlineStr">
        <is>
          <t>Seed Amount</t>
        </is>
      </c>
      <c r="B23" s="59" t="n">
        <v>15000000</v>
      </c>
      <c r="C23" s="6" t="inlineStr"/>
      <c r="D23" s="8" t="inlineStr">
        <is>
          <t>₹1.5 Crore raised</t>
        </is>
      </c>
    </row>
    <row r="24">
      <c r="A24" s="9" t="inlineStr">
        <is>
          <t>Average Monthly Burn</t>
        </is>
      </c>
      <c r="B24" s="60" t="n">
        <v>125000</v>
      </c>
      <c r="C24" s="9" t="inlineStr"/>
      <c r="D24" s="11" t="inlineStr">
        <is>
          <t>Blended burn across all categories</t>
        </is>
      </c>
    </row>
    <row r="25">
      <c r="A25" s="84" t="inlineStr">
        <is>
          <t>Runway (months)</t>
        </is>
      </c>
      <c r="B25" s="85" t="n">
        <v>120</v>
      </c>
      <c r="C25" s="6" t="inlineStr"/>
      <c r="D25" s="8">
        <f> ₹150L ÷ ₹125K/month</f>
        <v/>
      </c>
    </row>
    <row r="27">
      <c r="A27" s="56" t="inlineStr">
        <is>
          <t>SECTION 4 — Series A Milestone Targets</t>
        </is>
      </c>
      <c r="B27" s="5" t="n"/>
      <c r="C27" s="5" t="n"/>
      <c r="D27" s="5" t="n"/>
    </row>
    <row r="28">
      <c r="A28" s="64" t="inlineStr">
        <is>
          <t>Milestone</t>
        </is>
      </c>
      <c r="B28" s="64" t="inlineStr">
        <is>
          <t>Target</t>
        </is>
      </c>
      <c r="C28" s="64" t="inlineStr">
        <is>
          <t>By Month</t>
        </is>
      </c>
      <c r="D28" s="64" t="inlineStr">
        <is>
          <t>Notes</t>
        </is>
      </c>
    </row>
    <row r="29">
      <c r="A29" s="72" t="inlineStr">
        <is>
          <t>Orders per Month</t>
        </is>
      </c>
      <c r="B29" s="86" t="inlineStr">
        <is>
          <t>5,000+</t>
        </is>
      </c>
      <c r="C29" s="87" t="inlineStr">
        <is>
          <t>Month 18</t>
        </is>
      </c>
      <c r="D29" s="8" t="inlineStr">
        <is>
          <t>Full Hyderabad coverage</t>
        </is>
      </c>
    </row>
    <row r="30">
      <c r="A30" s="70" t="inlineStr">
        <is>
          <t>Monthly Revenue</t>
        </is>
      </c>
      <c r="B30" s="88" t="inlineStr">
        <is>
          <t>₹25L+</t>
        </is>
      </c>
      <c r="C30" s="89" t="inlineStr">
        <is>
          <t>Month 18</t>
        </is>
      </c>
      <c r="D30" s="11" t="inlineStr">
        <is>
          <t>₹25 Lakh MRR target</t>
        </is>
      </c>
    </row>
    <row r="31">
      <c r="A31" s="72" t="inlineStr">
        <is>
          <t>EBITDA Positive</t>
        </is>
      </c>
      <c r="B31" s="86" t="inlineStr">
        <is>
          <t>3+ months</t>
        </is>
      </c>
      <c r="C31" s="87" t="inlineStr">
        <is>
          <t>Month 16+</t>
        </is>
      </c>
      <c r="D31" s="8" t="inlineStr">
        <is>
          <t>Sustained operational profitability</t>
        </is>
      </c>
    </row>
    <row r="32">
      <c r="A32" s="70" t="inlineStr">
        <is>
          <t>Active Subscribers</t>
        </is>
      </c>
      <c r="B32" s="88" t="inlineStr">
        <is>
          <t>900+</t>
        </is>
      </c>
      <c r="C32" s="89" t="inlineStr">
        <is>
          <t>Month 18</t>
        </is>
      </c>
      <c r="D32" s="11" t="inlineStr">
        <is>
          <t>Predictable recurring revenue base</t>
        </is>
      </c>
    </row>
    <row r="33">
      <c r="A33" s="72" t="inlineStr">
        <is>
          <t>City Coverage</t>
        </is>
      </c>
      <c r="B33" s="86" t="inlineStr">
        <is>
          <t>All Hyderabad</t>
        </is>
      </c>
      <c r="C33" s="87" t="inlineStr">
        <is>
          <t>Month 18</t>
        </is>
      </c>
      <c r="D33" s="8" t="inlineStr">
        <is>
          <t>All major IT corridors + residential</t>
        </is>
      </c>
    </row>
    <row r="34">
      <c r="A34" s="70" t="inlineStr">
        <is>
          <t>Partner Facilities</t>
        </is>
      </c>
      <c r="B34" s="88" t="inlineStr">
        <is>
          <t>15+</t>
        </is>
      </c>
      <c r="C34" s="89" t="inlineStr">
        <is>
          <t>Month 15</t>
        </is>
      </c>
      <c r="D34" s="11" t="inlineStr">
        <is>
          <t>Capacity for 5K+ orders/month</t>
        </is>
      </c>
    </row>
    <row r="35">
      <c r="A35" s="72" t="inlineStr">
        <is>
          <t>Series A Raise</t>
        </is>
      </c>
      <c r="B35" s="86" t="inlineStr">
        <is>
          <t>₹8–10 Cr</t>
        </is>
      </c>
      <c r="C35" s="87" t="inlineStr">
        <is>
          <t>Month 18+</t>
        </is>
      </c>
      <c r="D35" s="8" t="inlineStr">
        <is>
          <t>At ₹40 Crore post-money valuation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2026-03-18T23:31:35Z</dcterms:created>
  <dcterms:modified xsi:type="dcterms:W3CDTF">2026-03-18T23:31:35Z</dcterms:modified>
</cp:coreProperties>
</file>